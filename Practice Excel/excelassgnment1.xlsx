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IT VEDANT\ADVANCE EXCEL\Practice Excel\"/>
    </mc:Choice>
  </mc:AlternateContent>
  <xr:revisionPtr revIDLastSave="0" documentId="13_ncr:1_{AAB8F933-1EE6-4139-AA4B-D6511697BC44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Task-1" sheetId="1" r:id="rId1"/>
    <sheet name="Task-2" sheetId="2" r:id="rId2"/>
    <sheet name="Task-3" sheetId="3" r:id="rId3"/>
    <sheet name="Task-4" sheetId="4" r:id="rId4"/>
    <sheet name="Sheet1" sheetId="6" r:id="rId5"/>
    <sheet name="Task-5" sheetId="5" r:id="rId6"/>
  </sheets>
  <calcPr calcId="191029"/>
  <pivotCaches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5" l="1"/>
  <c r="F3" i="5"/>
  <c r="F4" i="5"/>
  <c r="F5" i="5"/>
  <c r="F6" i="5"/>
  <c r="F7" i="5"/>
  <c r="F8" i="5"/>
  <c r="H4" i="5"/>
  <c r="J3" i="4"/>
  <c r="J2" i="4"/>
  <c r="E3" i="4"/>
  <c r="E4" i="4"/>
  <c r="E5" i="4"/>
  <c r="E6" i="4"/>
  <c r="E7" i="4"/>
  <c r="E8" i="4"/>
  <c r="E9" i="4"/>
  <c r="E10" i="4"/>
  <c r="E11" i="4"/>
  <c r="E2" i="4"/>
  <c r="C13" i="4"/>
  <c r="B13" i="4"/>
  <c r="D3" i="4"/>
  <c r="D4" i="4"/>
  <c r="D5" i="4"/>
  <c r="D6" i="4"/>
  <c r="D7" i="4"/>
  <c r="D8" i="4"/>
  <c r="D9" i="4"/>
  <c r="D10" i="4"/>
  <c r="D11" i="4"/>
  <c r="D2" i="4"/>
  <c r="F3" i="2"/>
  <c r="F4" i="2"/>
  <c r="F5" i="2"/>
  <c r="F6" i="2"/>
  <c r="F7" i="2"/>
  <c r="F8" i="2"/>
  <c r="F9" i="2"/>
  <c r="F10" i="2"/>
  <c r="F11" i="2"/>
  <c r="F2" i="2"/>
  <c r="F3" i="1"/>
  <c r="F10" i="1"/>
  <c r="F6" i="1"/>
  <c r="F2" i="1"/>
  <c r="F9" i="1"/>
  <c r="F5" i="1"/>
  <c r="F7" i="1"/>
  <c r="F4" i="1"/>
  <c r="F8" i="1"/>
</calcChain>
</file>

<file path=xl/sharedStrings.xml><?xml version="1.0" encoding="utf-8"?>
<sst xmlns="http://schemas.openxmlformats.org/spreadsheetml/2006/main" count="127" uniqueCount="106">
  <si>
    <t xml:space="preserve">Student ID </t>
  </si>
  <si>
    <t xml:space="preserve"> Name         </t>
  </si>
  <si>
    <t xml:space="preserve"> Math Score </t>
  </si>
  <si>
    <t xml:space="preserve"> Science Score </t>
  </si>
  <si>
    <t xml:space="preserve"> English Score </t>
  </si>
  <si>
    <t xml:space="preserve"> John Doe       </t>
  </si>
  <si>
    <t xml:space="preserve"> Jane Smith     </t>
  </si>
  <si>
    <t xml:space="preserve"> David Brown    </t>
  </si>
  <si>
    <t xml:space="preserve"> Emily Johnson  </t>
  </si>
  <si>
    <t xml:space="preserve"> Michael Lee    </t>
  </si>
  <si>
    <t xml:space="preserve"> Sarah Wang     </t>
  </si>
  <si>
    <t xml:space="preserve"> Daniel Kim     </t>
  </si>
  <si>
    <t xml:space="preserve"> Jessica Liu    </t>
  </si>
  <si>
    <t xml:space="preserve"> Ethan Chen     </t>
  </si>
  <si>
    <t>1. Apply conditional formatting to highlight students with an average score above 85.</t>
  </si>
  <si>
    <t>2. Sort the student data based on their Math Score in descending order.</t>
  </si>
  <si>
    <t>3. Format the scores to one decimal place.</t>
  </si>
  <si>
    <t>Product ID</t>
  </si>
  <si>
    <t>Product Name</t>
  </si>
  <si>
    <t>Category</t>
  </si>
  <si>
    <t>Price</t>
  </si>
  <si>
    <t>Quantity</t>
  </si>
  <si>
    <t>Laptop</t>
  </si>
  <si>
    <t>Electronics</t>
  </si>
  <si>
    <t>T-shirt</t>
  </si>
  <si>
    <t>Clothing</t>
  </si>
  <si>
    <t>Smartphone</t>
  </si>
  <si>
    <t>Headphones</t>
  </si>
  <si>
    <t>Jeans</t>
  </si>
  <si>
    <t>Tablet</t>
  </si>
  <si>
    <t>Dress Shirt</t>
  </si>
  <si>
    <t>Camera</t>
  </si>
  <si>
    <t>Sneakers</t>
  </si>
  <si>
    <t>Smart Watch</t>
  </si>
  <si>
    <t>Task :</t>
  </si>
  <si>
    <t>1. Create a table to manage product inventory with columns for Product ID, Product Name, Category, Price, and Quantity.</t>
  </si>
  <si>
    <t>2. Calculate the total value of each product (Price * Quantity).</t>
  </si>
  <si>
    <t>3. Use data validation to create a drop-down list for selecting categories.</t>
  </si>
  <si>
    <t>4. Apply conditional formatting to highlight products with a price above $500.</t>
  </si>
  <si>
    <t>5. Insert a column chart to visualize the quantity of each product</t>
  </si>
  <si>
    <t>1. Calculate the total sales for each month using the SUM function.</t>
  </si>
  <si>
    <t>2. Calculate the average sales across all three products for each month using the AVERAGE function.</t>
  </si>
  <si>
    <t>3. Use COUNTIF function to count the number of months where Sales A exceeded 1000.</t>
  </si>
  <si>
    <t>4. Use MAX function to find the highest sales value among all products for each month.</t>
  </si>
  <si>
    <t>5. Create a line chart to visualize the trend of Sales A, Sales B, and Sales Cover the three months.</t>
  </si>
  <si>
    <t>Month</t>
  </si>
  <si>
    <t>Sales A</t>
  </si>
  <si>
    <t>Sales B</t>
  </si>
  <si>
    <t>Sales C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</si>
  <si>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</si>
  <si>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</si>
  <si>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</si>
  <si>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</si>
  <si>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</si>
  <si>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</si>
  <si>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</si>
  <si>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</si>
  <si>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</si>
  <si>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1. Calculate the profit for each product using a formula (Revenue - Cost).</t>
  </si>
  <si>
    <t>2. Calculate the total cost and total revenue using the SUM function.</t>
  </si>
  <si>
    <t>3. Use IF function to categorize each product as "Profitable" if Profit &gt; 0, otherwise "Not Profitable".</t>
  </si>
  <si>
    <t>4. Create a pie chart to represent the percentage distribution of Profitable and Not Profitable products.</t>
  </si>
  <si>
    <t>5. Format the financial statement with currency and percentage formats.</t>
  </si>
  <si>
    <t>Item</t>
  </si>
  <si>
    <t>Cost</t>
  </si>
  <si>
    <t>Revenue</t>
  </si>
  <si>
    <t>Profit</t>
  </si>
  <si>
    <t>Product D</t>
  </si>
  <si>
    <t>Product E</t>
  </si>
  <si>
    <t>Product F</t>
  </si>
  <si>
    <t>Product G</t>
  </si>
  <si>
    <t>Product H</t>
  </si>
  <si>
    <t>Product I</t>
  </si>
  <si>
    <t>Product J</t>
  </si>
  <si>
    <t>Product K</t>
  </si>
  <si>
    <t>Product L</t>
  </si>
  <si>
    <t>Product M</t>
  </si>
  <si>
    <t>1. Apply conditional formatting to highlight employees with a salary above $60000.</t>
  </si>
  <si>
    <t>2. Create a drop-down list for selecting departments using data validation.</t>
  </si>
  <si>
    <t>3. Use VLOOKUP function to retrieve the Department of Employee ID 2.</t>
  </si>
  <si>
    <t>4. Calculate the number of years each employee has been with the company using DATEDIF function.</t>
  </si>
  <si>
    <t>5. Create a PivotTable to summarize total salary by department.</t>
  </si>
  <si>
    <t>Employee ID</t>
  </si>
  <si>
    <t>Employee Name</t>
  </si>
  <si>
    <t>Department</t>
  </si>
  <si>
    <t>Salary</t>
  </si>
  <si>
    <t>Hire Date</t>
  </si>
  <si>
    <t>Emily|Johnson</t>
  </si>
  <si>
    <t>HR</t>
  </si>
  <si>
    <t>Michael|Lee</t>
  </si>
  <si>
    <t>Sales</t>
  </si>
  <si>
    <t>Sarah|Wang</t>
  </si>
  <si>
    <t>Finance</t>
  </si>
  <si>
    <t>Daniel|Kim</t>
  </si>
  <si>
    <t>Jessica|Liu</t>
  </si>
  <si>
    <t>Ethan|Chen</t>
  </si>
  <si>
    <t>Sophia|Brown</t>
  </si>
  <si>
    <t>Average Score</t>
  </si>
  <si>
    <t>Total_Value</t>
  </si>
  <si>
    <t>Profitable</t>
  </si>
  <si>
    <t>Not Profitable</t>
  </si>
  <si>
    <t>Emlpoyee_ID</t>
  </si>
  <si>
    <t>Employee</t>
  </si>
  <si>
    <t>Row Labels</t>
  </si>
  <si>
    <t>Grand Total</t>
  </si>
  <si>
    <t>Sum of 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</si>
</sst>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&quot;₹&quot;\ #,##0.00"/>
  </numFmts>
  <fonts count="4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2" fillId="0" borderId="10" xfId="0" applyFont="1" applyFill="1" applyBorder="1" applyAlignment="1">
      <alignment horizontal="center" vertical="center"/>
    </xf>
    <xf numFmtId="0" fontId="0" fillId="0" borderId="0" xfId="0" applyBorder="1"/>
    <xf numFmtId="166" fontId="0" fillId="0" borderId="1" xfId="0" applyNumberFormat="1" applyBorder="1"/>
    <xf numFmtId="0" fontId="2" fillId="0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'Task-4'!$J$2:$J$3</c:f>
              <c:strCache>
                <c:ptCount val="2"/>
                <c:pt idx="0">
                  <c:v>10</c:v>
                </c:pt>
                <c:pt idx="1">
                  <c:v>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'Task-4'!$H$2:$H$3</c:f>
              <c:strCache>
                <c:ptCount val="2"/>
                <c:pt idx="0">
                  <c:v>Profitable</c:v>
                </c:pt>
                <c:pt idx="1">
                  <c:v>Not Profitable</c:v>
                </c:pt>
              </c:strCache>
            </c:strRef>
          </c:cat>
          <c:val>
            <c:numRef>
              <c:f>'Task-4'!$J$2:$J$3</c:f>
              <c:numCache>
                <c:formatCode>General</c:formatCode>
                <c:ptCount val="2"/>
                <c:pt idx="0">
                  <c:v>10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A7-47CB-836F-A0AF76D0EE0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13</xdr:row>
      <xdr:rowOff>15240</xdr:rowOff>
    </xdr:from>
    <xdr:to>
      <xdr:col>10</xdr:col>
      <xdr:colOff>403860</xdr:colOff>
      <xdr:row>28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C23C18-5FAC-C02F-0006-4D7B06B20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8.970095949073" createdVersion="8" refreshedVersion="8" minRefreshableVersion="3" recordCount="6" xr:uid="{11AAFFBA-2A84-45A8-A2CB-D6A6354FB108}">
  <cacheSource type="worksheet">
    <worksheetSource ref="C2:D8" sheet="Task-5"/>
  </cacheSource>
  <cacheFields count="2">
    <cacheField name="HR" numFmtId="0">
      <sharedItems count="3">
        <s v="Sales"/>
        <s v="Finance"/>
        <s v="HR"/>
      </sharedItems>
    </cacheField>
    <cacheField name="55000" numFmtId="0">
      <sharedItems containsSemiMixedTypes="0" containsString="0" containsNumber="1" containsInteger="1" minValue="58000" maxValue="7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65000"/>
  </r>
  <r>
    <x v="1"/>
    <n v="72000"/>
  </r>
  <r>
    <x v="0"/>
    <n v="63000"/>
  </r>
  <r>
    <x v="2"/>
    <n v="58000"/>
  </r>
  <r>
    <x v="1"/>
    <n v="68000"/>
  </r>
  <r>
    <x v="0"/>
    <n v="7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FA532-2D33-4272-80DB-0A4CD6CB8E8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:C17" firstHeaderRow="1" firstDataRow="1" firstDataCol="1"/>
  <pivotFields count="2">
    <pivotField axis="axisRow" showAll="0">
      <items count="4">
        <item x="0"/>
        <item x="2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55000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CC97DD-609A-434D-B590-99B8B66A3AB1}" name="Table1" displayName="Table1" ref="A1:F11" totalsRowShown="0" headerRowDxfId="12" headerRowBorderDxfId="11" tableBorderDxfId="10" totalsRowBorderDxfId="9">
  <autoFilter ref="A1:F11" xr:uid="{97CC97DD-609A-434D-B590-99B8B66A3AB1}"/>
  <tableColumns count="6">
    <tableColumn id="1" xr3:uid="{1985E171-566D-4B2E-8355-578CE31AE199}" name="Product ID" dataDxfId="8"/>
    <tableColumn id="2" xr3:uid="{BA9A1B71-3834-408C-B759-FAFEFB99D318}" name="Product Name" dataDxfId="7"/>
    <tableColumn id="3" xr3:uid="{F125892E-D502-4C14-861A-F6FA5FA05ABF}" name="Category" dataDxfId="6"/>
    <tableColumn id="4" xr3:uid="{E731648E-5664-45D2-A8BB-2137D7BF8524}" name="Price" dataDxfId="5"/>
    <tableColumn id="5" xr3:uid="{423AF42A-A6C9-439D-8EE9-90E186C1E92C}" name="Quantity" dataDxfId="4"/>
    <tableColumn id="6" xr3:uid="{7FB0A2EC-0D6A-4F54-911B-2BEF711672E4}" name="Total_Value" dataDxfId="3">
      <calculatedColumnFormula>Table1[[#This Row],[Price]]*Table1[[#This Row],[Quantity]]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opLeftCell="A13" workbookViewId="0">
      <selection activeCell="I29" sqref="I29"/>
    </sheetView>
  </sheetViews>
  <sheetFormatPr defaultRowHeight="14.4" x14ac:dyDescent="0.3"/>
  <cols>
    <col min="1" max="1" width="10.21875" bestFit="1" customWidth="1"/>
    <col min="2" max="2" width="14.109375" bestFit="1" customWidth="1"/>
    <col min="3" max="3" width="11.21875" bestFit="1" customWidth="1"/>
    <col min="4" max="4" width="12.88671875" bestFit="1" customWidth="1"/>
    <col min="5" max="5" width="12.5546875" bestFit="1" customWidth="1"/>
    <col min="6" max="6" width="14.5546875" bestFit="1" customWidth="1"/>
  </cols>
  <sheetData>
    <row r="1" spans="1:8" x14ac:dyDescent="0.3">
      <c r="A1" s="8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97</v>
      </c>
    </row>
    <row r="2" spans="1:8" x14ac:dyDescent="0.3">
      <c r="A2" s="7">
        <v>5</v>
      </c>
      <c r="B2" s="1" t="s">
        <v>9</v>
      </c>
      <c r="C2" s="10">
        <v>95</v>
      </c>
      <c r="D2" s="10">
        <v>91</v>
      </c>
      <c r="E2" s="10">
        <v>87</v>
      </c>
      <c r="F2" s="10">
        <f t="shared" ref="F2:F10" si="0">AVERAGE(C2:E2)</f>
        <v>91</v>
      </c>
    </row>
    <row r="3" spans="1:8" x14ac:dyDescent="0.3">
      <c r="A3" s="7">
        <v>2</v>
      </c>
      <c r="B3" s="1" t="s">
        <v>6</v>
      </c>
      <c r="C3" s="10">
        <v>92</v>
      </c>
      <c r="D3" s="10">
        <v>88</v>
      </c>
      <c r="E3" s="10">
        <v>90</v>
      </c>
      <c r="F3" s="10">
        <f t="shared" si="0"/>
        <v>90</v>
      </c>
    </row>
    <row r="4" spans="1:8" x14ac:dyDescent="0.3">
      <c r="A4" s="7">
        <v>9</v>
      </c>
      <c r="B4" s="1" t="s">
        <v>13</v>
      </c>
      <c r="C4" s="10">
        <v>91</v>
      </c>
      <c r="D4" s="10">
        <v>87</v>
      </c>
      <c r="E4" s="10">
        <v>91</v>
      </c>
      <c r="F4" s="10">
        <f t="shared" si="0"/>
        <v>89.666666666666671</v>
      </c>
    </row>
    <row r="5" spans="1:8" x14ac:dyDescent="0.3">
      <c r="A5" s="7">
        <v>7</v>
      </c>
      <c r="B5" s="1" t="s">
        <v>11</v>
      </c>
      <c r="C5" s="10">
        <v>90</v>
      </c>
      <c r="D5" s="10">
        <v>86</v>
      </c>
      <c r="E5" s="10">
        <v>88</v>
      </c>
      <c r="F5" s="10">
        <f t="shared" si="0"/>
        <v>88</v>
      </c>
    </row>
    <row r="6" spans="1:8" x14ac:dyDescent="0.3">
      <c r="A6" s="7">
        <v>4</v>
      </c>
      <c r="B6" s="1" t="s">
        <v>8</v>
      </c>
      <c r="C6" s="10">
        <v>88</v>
      </c>
      <c r="D6" s="10">
        <v>85</v>
      </c>
      <c r="E6" s="10">
        <v>92</v>
      </c>
      <c r="F6" s="10">
        <f t="shared" si="0"/>
        <v>88.333333333333329</v>
      </c>
    </row>
    <row r="7" spans="1:8" x14ac:dyDescent="0.3">
      <c r="A7" s="1">
        <v>8</v>
      </c>
      <c r="B7" s="1" t="s">
        <v>12</v>
      </c>
      <c r="C7" s="10">
        <v>87</v>
      </c>
      <c r="D7" s="10">
        <v>83</v>
      </c>
      <c r="E7" s="10">
        <v>89</v>
      </c>
      <c r="F7" s="10">
        <f t="shared" si="0"/>
        <v>86.333333333333329</v>
      </c>
    </row>
    <row r="8" spans="1:8" x14ac:dyDescent="0.3">
      <c r="A8" s="7">
        <v>1</v>
      </c>
      <c r="B8" s="1" t="s">
        <v>5</v>
      </c>
      <c r="C8" s="10">
        <v>85</v>
      </c>
      <c r="D8" s="10">
        <v>90</v>
      </c>
      <c r="E8" s="10">
        <v>88</v>
      </c>
      <c r="F8" s="10">
        <f t="shared" si="0"/>
        <v>87.666666666666671</v>
      </c>
    </row>
    <row r="9" spans="1:8" x14ac:dyDescent="0.3">
      <c r="A9" s="7">
        <v>6</v>
      </c>
      <c r="B9" s="1" t="s">
        <v>10</v>
      </c>
      <c r="C9" s="10">
        <v>82</v>
      </c>
      <c r="D9" s="10">
        <v>89</v>
      </c>
      <c r="E9" s="10">
        <v>84</v>
      </c>
      <c r="F9" s="10">
        <f t="shared" si="0"/>
        <v>85</v>
      </c>
    </row>
    <row r="10" spans="1:8" x14ac:dyDescent="0.3">
      <c r="A10" s="7">
        <v>3</v>
      </c>
      <c r="B10" s="1" t="s">
        <v>7</v>
      </c>
      <c r="C10" s="10">
        <v>78</v>
      </c>
      <c r="D10" s="10">
        <v>82</v>
      </c>
      <c r="E10" s="10">
        <v>85</v>
      </c>
      <c r="F10" s="10">
        <f t="shared" si="0"/>
        <v>81.666666666666671</v>
      </c>
    </row>
    <row r="13" spans="1:8" ht="27.45" customHeight="1" x14ac:dyDescent="0.3">
      <c r="B13" s="21" t="s">
        <v>14</v>
      </c>
      <c r="C13" s="21"/>
      <c r="D13" s="21"/>
      <c r="E13" s="21"/>
    </row>
    <row r="14" spans="1:8" ht="28.05" customHeight="1" x14ac:dyDescent="0.3">
      <c r="B14" s="21" t="s">
        <v>15</v>
      </c>
      <c r="C14" s="21"/>
      <c r="D14" s="21"/>
      <c r="E14" s="21"/>
      <c r="H14" s="11"/>
    </row>
    <row r="15" spans="1:8" ht="19.95" customHeight="1" x14ac:dyDescent="0.3">
      <c r="B15" s="21" t="s">
        <v>16</v>
      </c>
      <c r="C15" s="21"/>
      <c r="D15" s="21"/>
      <c r="E15" s="21"/>
    </row>
  </sheetData>
  <sortState xmlns:xlrd2="http://schemas.microsoft.com/office/spreadsheetml/2017/richdata2" ref="A2:F10">
    <sortCondition descending="1" ref="C2:C10"/>
  </sortState>
  <mergeCells count="3">
    <mergeCell ref="B13:E13"/>
    <mergeCell ref="B14:E14"/>
    <mergeCell ref="B15:E15"/>
  </mergeCells>
  <conditionalFormatting sqref="B2:B10">
    <cfRule type="expression" dxfId="2" priority="1">
      <formula>$F2&gt;85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activeCell="F16" sqref="F16"/>
    </sheetView>
  </sheetViews>
  <sheetFormatPr defaultRowHeight="14.4" x14ac:dyDescent="0.3"/>
  <cols>
    <col min="1" max="1" width="14.33203125" bestFit="1" customWidth="1"/>
    <col min="2" max="2" width="17.6640625" bestFit="1" customWidth="1"/>
    <col min="3" max="3" width="13" bestFit="1" customWidth="1"/>
    <col min="4" max="4" width="9.5546875" bestFit="1" customWidth="1"/>
    <col min="5" max="5" width="12.77734375" bestFit="1" customWidth="1"/>
    <col min="6" max="6" width="15.44140625" bestFit="1" customWidth="1"/>
    <col min="8" max="8" width="48.21875" customWidth="1"/>
  </cols>
  <sheetData>
    <row r="1" spans="1:8" x14ac:dyDescent="0.3">
      <c r="A1" s="14" t="s">
        <v>17</v>
      </c>
      <c r="B1" s="15" t="s">
        <v>18</v>
      </c>
      <c r="C1" s="15" t="s">
        <v>19</v>
      </c>
      <c r="D1" s="15" t="s">
        <v>20</v>
      </c>
      <c r="E1" s="16" t="s">
        <v>21</v>
      </c>
      <c r="F1" s="15" t="s">
        <v>98</v>
      </c>
    </row>
    <row r="2" spans="1:8" x14ac:dyDescent="0.3">
      <c r="A2" s="12">
        <v>1</v>
      </c>
      <c r="B2" s="1" t="s">
        <v>22</v>
      </c>
      <c r="C2" s="1" t="s">
        <v>23</v>
      </c>
      <c r="D2" s="1">
        <v>1000</v>
      </c>
      <c r="E2" s="13">
        <v>5</v>
      </c>
      <c r="F2" s="20">
        <f>Table1[[#This Row],[Price]]*Table1[[#This Row],[Quantity]]</f>
        <v>5000</v>
      </c>
    </row>
    <row r="3" spans="1:8" x14ac:dyDescent="0.3">
      <c r="A3" s="12">
        <v>2</v>
      </c>
      <c r="B3" s="1" t="s">
        <v>24</v>
      </c>
      <c r="C3" s="1" t="s">
        <v>25</v>
      </c>
      <c r="D3" s="1">
        <v>20</v>
      </c>
      <c r="E3" s="13">
        <v>10</v>
      </c>
      <c r="F3" s="20">
        <f>Table1[[#This Row],[Price]]*Table1[[#This Row],[Quantity]]</f>
        <v>200</v>
      </c>
    </row>
    <row r="4" spans="1:8" x14ac:dyDescent="0.3">
      <c r="A4" s="12">
        <v>3</v>
      </c>
      <c r="B4" s="1" t="s">
        <v>26</v>
      </c>
      <c r="C4" s="1" t="s">
        <v>23</v>
      </c>
      <c r="D4" s="1">
        <v>500</v>
      </c>
      <c r="E4" s="13">
        <v>8</v>
      </c>
      <c r="F4" s="20">
        <f>Table1[[#This Row],[Price]]*Table1[[#This Row],[Quantity]]</f>
        <v>4000</v>
      </c>
    </row>
    <row r="5" spans="1:8" x14ac:dyDescent="0.3">
      <c r="A5" s="12">
        <v>4</v>
      </c>
      <c r="B5" s="1" t="s">
        <v>27</v>
      </c>
      <c r="C5" s="1" t="s">
        <v>23</v>
      </c>
      <c r="D5" s="1">
        <v>200</v>
      </c>
      <c r="E5" s="13">
        <v>15</v>
      </c>
      <c r="F5" s="20">
        <f>Table1[[#This Row],[Price]]*Table1[[#This Row],[Quantity]]</f>
        <v>3000</v>
      </c>
    </row>
    <row r="6" spans="1:8" x14ac:dyDescent="0.3">
      <c r="A6" s="12">
        <v>5</v>
      </c>
      <c r="B6" s="1" t="s">
        <v>28</v>
      </c>
      <c r="C6" s="1" t="s">
        <v>25</v>
      </c>
      <c r="D6" s="1">
        <v>50</v>
      </c>
      <c r="E6" s="13">
        <v>12</v>
      </c>
      <c r="F6" s="20">
        <f>Table1[[#This Row],[Price]]*Table1[[#This Row],[Quantity]]</f>
        <v>600</v>
      </c>
    </row>
    <row r="7" spans="1:8" x14ac:dyDescent="0.3">
      <c r="A7" s="12">
        <v>6</v>
      </c>
      <c r="B7" s="1" t="s">
        <v>29</v>
      </c>
      <c r="C7" s="1" t="s">
        <v>23</v>
      </c>
      <c r="D7" s="1">
        <v>700</v>
      </c>
      <c r="E7" s="13">
        <v>6</v>
      </c>
      <c r="F7" s="20">
        <f>Table1[[#This Row],[Price]]*Table1[[#This Row],[Quantity]]</f>
        <v>4200</v>
      </c>
    </row>
    <row r="8" spans="1:8" x14ac:dyDescent="0.3">
      <c r="A8" s="12">
        <v>7</v>
      </c>
      <c r="B8" s="1" t="s">
        <v>30</v>
      </c>
      <c r="C8" s="1" t="s">
        <v>25</v>
      </c>
      <c r="D8" s="1">
        <v>30</v>
      </c>
      <c r="E8" s="13">
        <v>20</v>
      </c>
      <c r="F8" s="20">
        <f>Table1[[#This Row],[Price]]*Table1[[#This Row],[Quantity]]</f>
        <v>600</v>
      </c>
    </row>
    <row r="9" spans="1:8" x14ac:dyDescent="0.3">
      <c r="A9" s="12">
        <v>8</v>
      </c>
      <c r="B9" s="1" t="s">
        <v>31</v>
      </c>
      <c r="C9" s="1" t="s">
        <v>23</v>
      </c>
      <c r="D9" s="1">
        <v>1200</v>
      </c>
      <c r="E9" s="13">
        <v>3</v>
      </c>
      <c r="F9" s="20">
        <f>Table1[[#This Row],[Price]]*Table1[[#This Row],[Quantity]]</f>
        <v>3600</v>
      </c>
    </row>
    <row r="10" spans="1:8" x14ac:dyDescent="0.3">
      <c r="A10" s="12">
        <v>9</v>
      </c>
      <c r="B10" s="1" t="s">
        <v>32</v>
      </c>
      <c r="C10" s="1" t="s">
        <v>25</v>
      </c>
      <c r="D10" s="1">
        <v>80</v>
      </c>
      <c r="E10" s="13">
        <v>7</v>
      </c>
      <c r="F10" s="20">
        <f>Table1[[#This Row],[Price]]*Table1[[#This Row],[Quantity]]</f>
        <v>560</v>
      </c>
    </row>
    <row r="11" spans="1:8" x14ac:dyDescent="0.3">
      <c r="A11" s="17">
        <v>10</v>
      </c>
      <c r="B11" s="18" t="s">
        <v>33</v>
      </c>
      <c r="C11" s="18" t="s">
        <v>23</v>
      </c>
      <c r="D11" s="18">
        <v>300</v>
      </c>
      <c r="E11" s="19">
        <v>10</v>
      </c>
      <c r="F11" s="20">
        <f>Table1[[#This Row],[Price]]*Table1[[#This Row],[Quantity]]</f>
        <v>3000</v>
      </c>
    </row>
    <row r="12" spans="1:8" x14ac:dyDescent="0.3">
      <c r="H12" s="2" t="s">
        <v>34</v>
      </c>
    </row>
    <row r="13" spans="1:8" x14ac:dyDescent="0.3">
      <c r="H13" s="3"/>
    </row>
    <row r="14" spans="1:8" ht="24" x14ac:dyDescent="0.3">
      <c r="H14" s="4" t="s">
        <v>35</v>
      </c>
    </row>
    <row r="15" spans="1:8" x14ac:dyDescent="0.3">
      <c r="H15" s="4" t="s">
        <v>36</v>
      </c>
    </row>
    <row r="16" spans="1:8" ht="24" x14ac:dyDescent="0.3">
      <c r="H16" s="4" t="s">
        <v>37</v>
      </c>
    </row>
    <row r="17" spans="8:8" ht="24" x14ac:dyDescent="0.3">
      <c r="H17" s="4" t="s">
        <v>38</v>
      </c>
    </row>
    <row r="18" spans="8:8" x14ac:dyDescent="0.3">
      <c r="H18" s="4" t="s">
        <v>39</v>
      </c>
    </row>
  </sheetData>
  <conditionalFormatting sqref="D2:D11">
    <cfRule type="cellIs" dxfId="1" priority="1" operator="greaterThan">
      <formula>500</formula>
    </cfRule>
  </conditionalFormatting>
  <dataValidations count="1">
    <dataValidation type="list" allowBlank="1" showInputMessage="1" showErrorMessage="1" sqref="G1" xr:uid="{FD6FC374-1A90-4709-9A03-3338331313E9}">
      <formula1>$C$2:$C$11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selection activeCell="G9" sqref="G9"/>
    </sheetView>
  </sheetViews>
  <sheetFormatPr defaultRowHeight="14.4" x14ac:dyDescent="0.3"/>
  <cols>
    <col min="1" max="1" width="9.88671875" bestFit="1" customWidth="1"/>
    <col min="2" max="2" width="6.6640625" bestFit="1" customWidth="1"/>
    <col min="3" max="4" width="6.5546875" bestFit="1" customWidth="1"/>
  </cols>
  <sheetData>
    <row r="1" spans="1:7" x14ac:dyDescent="0.3">
      <c r="A1" s="6" t="s">
        <v>45</v>
      </c>
      <c r="B1" s="6" t="s">
        <v>46</v>
      </c>
      <c r="C1" s="6" t="s">
        <v>47</v>
      </c>
      <c r="D1" s="6" t="s">
        <v>48</v>
      </c>
    </row>
    <row r="2" spans="1:7" x14ac:dyDescent="0.3">
      <c r="A2" s="1" t="s">
        <v>49</v>
      </c>
      <c r="B2" s="1">
        <v>1200</v>
      </c>
      <c r="C2" s="1">
        <v>1100</v>
      </c>
      <c r="D2" s="1">
        <v>900</v>
      </c>
    </row>
    <row r="3" spans="1:7" x14ac:dyDescent="0.3">
      <c r="A3" s="1" t="s">
        <v>50</v>
      </c>
      <c r="B3" s="1">
        <v>900</v>
      </c>
      <c r="C3" s="1">
        <v>1000</v>
      </c>
      <c r="D3" s="1">
        <v>800</v>
      </c>
    </row>
    <row r="4" spans="1:7" x14ac:dyDescent="0.3">
      <c r="A4" s="1" t="s">
        <v>51</v>
      </c>
      <c r="B4" s="1">
        <v>1300</v>
      </c>
      <c r="C4" s="1">
        <v>950</v>
      </c>
      <c r="D4" s="1">
        <v>1050</v>
      </c>
    </row>
    <row r="5" spans="1:7" x14ac:dyDescent="0.3">
      <c r="A5" s="1" t="s">
        <v>52</v>
      </c>
      <c r="B5" s="1">
        <v>1100</v>
      </c>
      <c r="C5" s="1">
        <v>1200</v>
      </c>
      <c r="D5" s="1">
        <v>850</v>
      </c>
    </row>
    <row r="6" spans="1:7" x14ac:dyDescent="0.3">
      <c r="A6" s="1" t="s">
        <v>53</v>
      </c>
      <c r="B6" s="1">
        <v>950</v>
      </c>
      <c r="C6" s="1">
        <v>800</v>
      </c>
      <c r="D6" s="1">
        <v>950</v>
      </c>
    </row>
    <row r="7" spans="1:7" x14ac:dyDescent="0.3">
      <c r="A7" s="1" t="s">
        <v>54</v>
      </c>
      <c r="B7" s="1">
        <v>1150</v>
      </c>
      <c r="C7" s="1">
        <v>1050</v>
      </c>
      <c r="D7" s="1">
        <v>1000</v>
      </c>
    </row>
    <row r="8" spans="1:7" x14ac:dyDescent="0.3">
      <c r="A8" s="1" t="s">
        <v>55</v>
      </c>
      <c r="B8" s="1">
        <v>1050</v>
      </c>
      <c r="C8" s="1">
        <v>900</v>
      </c>
      <c r="D8" s="1">
        <v>1100</v>
      </c>
    </row>
    <row r="9" spans="1:7" x14ac:dyDescent="0.3">
      <c r="A9" s="1" t="s">
        <v>56</v>
      </c>
      <c r="B9" s="1">
        <v>1000</v>
      </c>
      <c r="C9" s="1">
        <v>1150</v>
      </c>
      <c r="D9" s="1">
        <v>950</v>
      </c>
    </row>
    <row r="10" spans="1:7" x14ac:dyDescent="0.3">
      <c r="A10" s="1" t="s">
        <v>57</v>
      </c>
      <c r="B10" s="1">
        <v>1250</v>
      </c>
      <c r="C10" s="1">
        <v>1000</v>
      </c>
      <c r="D10" s="1">
        <v>1200</v>
      </c>
    </row>
    <row r="15" spans="1:7" x14ac:dyDescent="0.3">
      <c r="G15" t="s">
        <v>34</v>
      </c>
    </row>
    <row r="17" spans="7:7" x14ac:dyDescent="0.3">
      <c r="G17" t="s">
        <v>40</v>
      </c>
    </row>
    <row r="18" spans="7:7" x14ac:dyDescent="0.3">
      <c r="G18" t="s">
        <v>41</v>
      </c>
    </row>
    <row r="19" spans="7:7" x14ac:dyDescent="0.3">
      <c r="G19" t="s">
        <v>42</v>
      </c>
    </row>
    <row r="20" spans="7:7" x14ac:dyDescent="0.3">
      <c r="G20" t="s">
        <v>43</v>
      </c>
    </row>
    <row r="21" spans="7:7" x14ac:dyDescent="0.3">
      <c r="G2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F9FF-FD80-4281-AFE9-6CCF2977C968}">
  <dimension ref="A1:L24"/>
  <sheetViews>
    <sheetView workbookViewId="0">
      <selection activeCell="O7" sqref="O7"/>
    </sheetView>
  </sheetViews>
  <sheetFormatPr defaultRowHeight="14.4" x14ac:dyDescent="0.3"/>
  <cols>
    <col min="1" max="1" width="9.44140625" bestFit="1" customWidth="1"/>
    <col min="2" max="2" width="9" bestFit="1" customWidth="1"/>
    <col min="3" max="3" width="9.44140625" bestFit="1" customWidth="1"/>
    <col min="4" max="4" width="9" bestFit="1" customWidth="1"/>
    <col min="5" max="5" width="8.88671875" style="24"/>
    <col min="8" max="8" width="12.5546875" bestFit="1" customWidth="1"/>
  </cols>
  <sheetData>
    <row r="1" spans="1:10" x14ac:dyDescent="0.3">
      <c r="A1" s="6" t="s">
        <v>63</v>
      </c>
      <c r="B1" s="6" t="s">
        <v>64</v>
      </c>
      <c r="C1" s="6" t="s">
        <v>65</v>
      </c>
      <c r="D1" s="6" t="s">
        <v>66</v>
      </c>
      <c r="E1" s="23" t="s">
        <v>99</v>
      </c>
    </row>
    <row r="2" spans="1:10" x14ac:dyDescent="0.3">
      <c r="A2" s="1" t="s">
        <v>67</v>
      </c>
      <c r="B2" s="25">
        <v>550</v>
      </c>
      <c r="C2" s="25">
        <v>820</v>
      </c>
      <c r="D2" s="25">
        <f>C2-B2</f>
        <v>270</v>
      </c>
      <c r="E2" s="1" t="str">
        <f>IF(D2&gt;0,"Profitable","Not profitable")</f>
        <v>Profitable</v>
      </c>
      <c r="H2" s="22" t="s">
        <v>99</v>
      </c>
      <c r="I2" s="22"/>
      <c r="J2" s="22">
        <f>COUNTIF(E2:E11,"Profitable")</f>
        <v>10</v>
      </c>
    </row>
    <row r="3" spans="1:10" x14ac:dyDescent="0.3">
      <c r="A3" s="1" t="s">
        <v>68</v>
      </c>
      <c r="B3" s="25">
        <v>630</v>
      </c>
      <c r="C3" s="25">
        <v>950</v>
      </c>
      <c r="D3" s="25">
        <f t="shared" ref="D3:D11" si="0">C3-B3</f>
        <v>320</v>
      </c>
      <c r="E3" s="1" t="str">
        <f t="shared" ref="E3:E11" si="1">IF(D3&gt;0,"Profitable","Not profitable")</f>
        <v>Profitable</v>
      </c>
      <c r="H3" s="22" t="s">
        <v>100</v>
      </c>
      <c r="I3" s="22"/>
      <c r="J3" s="22">
        <f>COUNTIF(E2:E11,"Not Profitable")</f>
        <v>0</v>
      </c>
    </row>
    <row r="4" spans="1:10" x14ac:dyDescent="0.3">
      <c r="A4" s="1" t="s">
        <v>69</v>
      </c>
      <c r="B4" s="25">
        <v>720</v>
      </c>
      <c r="C4" s="25">
        <v>1050</v>
      </c>
      <c r="D4" s="25">
        <f t="shared" si="0"/>
        <v>330</v>
      </c>
      <c r="E4" s="1" t="str">
        <f t="shared" si="1"/>
        <v>Profitable</v>
      </c>
    </row>
    <row r="5" spans="1:10" x14ac:dyDescent="0.3">
      <c r="A5" s="1" t="s">
        <v>70</v>
      </c>
      <c r="B5" s="25">
        <v>680</v>
      </c>
      <c r="C5" s="25">
        <v>980</v>
      </c>
      <c r="D5" s="25">
        <f t="shared" si="0"/>
        <v>300</v>
      </c>
      <c r="E5" s="1" t="str">
        <f t="shared" si="1"/>
        <v>Profitable</v>
      </c>
    </row>
    <row r="6" spans="1:10" x14ac:dyDescent="0.3">
      <c r="A6" s="1" t="s">
        <v>71</v>
      </c>
      <c r="B6" s="25">
        <v>590</v>
      </c>
      <c r="C6" s="25">
        <v>870</v>
      </c>
      <c r="D6" s="25">
        <f t="shared" si="0"/>
        <v>280</v>
      </c>
      <c r="E6" s="1" t="str">
        <f t="shared" si="1"/>
        <v>Profitable</v>
      </c>
    </row>
    <row r="7" spans="1:10" x14ac:dyDescent="0.3">
      <c r="A7" s="1" t="s">
        <v>72</v>
      </c>
      <c r="B7" s="25">
        <v>660</v>
      </c>
      <c r="C7" s="25">
        <v>930</v>
      </c>
      <c r="D7" s="25">
        <f t="shared" si="0"/>
        <v>270</v>
      </c>
      <c r="E7" s="1" t="str">
        <f t="shared" si="1"/>
        <v>Profitable</v>
      </c>
    </row>
    <row r="8" spans="1:10" x14ac:dyDescent="0.3">
      <c r="A8" s="1" t="s">
        <v>73</v>
      </c>
      <c r="B8" s="25">
        <v>710</v>
      </c>
      <c r="C8" s="25">
        <v>1020</v>
      </c>
      <c r="D8" s="25">
        <f t="shared" si="0"/>
        <v>310</v>
      </c>
      <c r="E8" s="1" t="str">
        <f t="shared" si="1"/>
        <v>Profitable</v>
      </c>
    </row>
    <row r="9" spans="1:10" x14ac:dyDescent="0.3">
      <c r="A9" s="1" t="s">
        <v>74</v>
      </c>
      <c r="B9" s="25">
        <v>590</v>
      </c>
      <c r="C9" s="25">
        <v>880</v>
      </c>
      <c r="D9" s="25">
        <f t="shared" si="0"/>
        <v>290</v>
      </c>
      <c r="E9" s="1" t="str">
        <f t="shared" si="1"/>
        <v>Profitable</v>
      </c>
    </row>
    <row r="10" spans="1:10" x14ac:dyDescent="0.3">
      <c r="A10" s="1" t="s">
        <v>75</v>
      </c>
      <c r="B10" s="25">
        <v>640</v>
      </c>
      <c r="C10" s="25">
        <v>940</v>
      </c>
      <c r="D10" s="25">
        <f t="shared" si="0"/>
        <v>300</v>
      </c>
      <c r="E10" s="1" t="str">
        <f t="shared" si="1"/>
        <v>Profitable</v>
      </c>
    </row>
    <row r="11" spans="1:10" x14ac:dyDescent="0.3">
      <c r="A11" s="1" t="s">
        <v>76</v>
      </c>
      <c r="B11" s="25">
        <v>600</v>
      </c>
      <c r="C11" s="25">
        <v>910</v>
      </c>
      <c r="D11" s="25">
        <f t="shared" si="0"/>
        <v>310</v>
      </c>
      <c r="E11" s="1" t="str">
        <f t="shared" si="1"/>
        <v>Profitable</v>
      </c>
    </row>
    <row r="13" spans="1:10" x14ac:dyDescent="0.3">
      <c r="B13" s="22">
        <f>SUM(B2:B11)</f>
        <v>6370</v>
      </c>
      <c r="C13" s="22">
        <f>SUM(C2:C11)</f>
        <v>9350</v>
      </c>
    </row>
    <row r="18" spans="12:12" x14ac:dyDescent="0.3">
      <c r="L18" t="s">
        <v>34</v>
      </c>
    </row>
    <row r="20" spans="12:12" x14ac:dyDescent="0.3">
      <c r="L20" t="s">
        <v>58</v>
      </c>
    </row>
    <row r="21" spans="12:12" x14ac:dyDescent="0.3">
      <c r="L21" t="s">
        <v>59</v>
      </c>
    </row>
    <row r="22" spans="12:12" x14ac:dyDescent="0.3">
      <c r="L22" t="s">
        <v>60</v>
      </c>
    </row>
    <row r="23" spans="12:12" x14ac:dyDescent="0.3">
      <c r="L23" t="s">
        <v>61</v>
      </c>
    </row>
    <row r="24" spans="12:12" x14ac:dyDescent="0.3">
      <c r="L24" t="s">
        <v>62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05E9-8A52-4907-B9AC-D44FDEC69FC1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D7D5C-9620-4905-8C3B-7F290BF6B079}">
  <dimension ref="A1:I17"/>
  <sheetViews>
    <sheetView tabSelected="1" zoomScale="145" zoomScaleNormal="145" workbookViewId="0">
      <selection activeCell="E14" sqref="E14"/>
    </sheetView>
  </sheetViews>
  <sheetFormatPr defaultRowHeight="14.4" x14ac:dyDescent="0.3"/>
  <cols>
    <col min="1" max="1" width="11.33203125" bestFit="1" customWidth="1"/>
    <col min="2" max="2" width="12.5546875" bestFit="1" customWidth="1"/>
    <col min="3" max="3" width="12.77734375" bestFit="1" customWidth="1"/>
    <col min="4" max="4" width="6.21875" bestFit="1" customWidth="1"/>
    <col min="5" max="5" width="10.5546875" bestFit="1" customWidth="1"/>
    <col min="7" max="7" width="11.77734375" bestFit="1" customWidth="1"/>
    <col min="8" max="8" width="9" bestFit="1" customWidth="1"/>
  </cols>
  <sheetData>
    <row r="1" spans="1:9" x14ac:dyDescent="0.3">
      <c r="A1" s="5" t="s">
        <v>82</v>
      </c>
      <c r="B1" s="5" t="s">
        <v>83</v>
      </c>
      <c r="C1" s="5" t="s">
        <v>84</v>
      </c>
      <c r="D1" s="5" t="s">
        <v>85</v>
      </c>
      <c r="E1" s="5" t="s">
        <v>86</v>
      </c>
      <c r="F1" s="26" t="s">
        <v>102</v>
      </c>
    </row>
    <row r="2" spans="1:9" x14ac:dyDescent="0.3">
      <c r="A2" s="1">
        <v>1</v>
      </c>
      <c r="B2" s="1" t="s">
        <v>87</v>
      </c>
      <c r="C2" s="1" t="s">
        <v>88</v>
      </c>
      <c r="D2" s="1">
        <v>55000</v>
      </c>
      <c r="E2" s="9">
        <v>43059</v>
      </c>
      <c r="F2" s="1">
        <f ca="1">DATEDIF(E2,TODAY(),"Y")</f>
        <v>8</v>
      </c>
    </row>
    <row r="3" spans="1:9" x14ac:dyDescent="0.3">
      <c r="A3" s="1">
        <v>2</v>
      </c>
      <c r="B3" s="1" t="s">
        <v>89</v>
      </c>
      <c r="C3" s="1" t="s">
        <v>90</v>
      </c>
      <c r="D3" s="1">
        <v>65000</v>
      </c>
      <c r="E3" s="9">
        <v>43682</v>
      </c>
      <c r="F3" s="1">
        <f t="shared" ref="F3:F8" ca="1" si="0">DATEDIF(E3,TODAY(),"Y")</f>
        <v>6</v>
      </c>
      <c r="G3" t="s">
        <v>101</v>
      </c>
      <c r="H3">
        <v>2</v>
      </c>
    </row>
    <row r="4" spans="1:9" x14ac:dyDescent="0.3">
      <c r="A4" s="1">
        <v>3</v>
      </c>
      <c r="B4" s="1" t="s">
        <v>91</v>
      </c>
      <c r="C4" s="1" t="s">
        <v>92</v>
      </c>
      <c r="D4" s="1">
        <v>72000</v>
      </c>
      <c r="E4" s="9">
        <v>43146</v>
      </c>
      <c r="F4" s="1">
        <f t="shared" ca="1" si="0"/>
        <v>8</v>
      </c>
      <c r="G4" t="s">
        <v>84</v>
      </c>
      <c r="H4" t="str">
        <f>VLOOKUP(H3,A2:E8,COLUMN(C2),TRUE)</f>
        <v>Sales</v>
      </c>
    </row>
    <row r="5" spans="1:9" x14ac:dyDescent="0.3">
      <c r="A5" s="1">
        <v>4</v>
      </c>
      <c r="B5" s="1" t="s">
        <v>93</v>
      </c>
      <c r="C5" s="1" t="s">
        <v>90</v>
      </c>
      <c r="D5" s="1">
        <v>63000</v>
      </c>
      <c r="E5" s="9">
        <v>43833</v>
      </c>
      <c r="F5" s="1">
        <f t="shared" ca="1" si="0"/>
        <v>6</v>
      </c>
    </row>
    <row r="6" spans="1:9" x14ac:dyDescent="0.3">
      <c r="A6" s="1">
        <v>5</v>
      </c>
      <c r="B6" s="1" t="s">
        <v>94</v>
      </c>
      <c r="C6" s="1" t="s">
        <v>88</v>
      </c>
      <c r="D6" s="1">
        <v>58000</v>
      </c>
      <c r="E6" s="9">
        <v>42623</v>
      </c>
      <c r="F6" s="1">
        <f t="shared" ca="1" si="0"/>
        <v>9</v>
      </c>
    </row>
    <row r="7" spans="1:9" x14ac:dyDescent="0.3">
      <c r="A7" s="1">
        <v>6</v>
      </c>
      <c r="B7" s="1" t="s">
        <v>95</v>
      </c>
      <c r="C7" s="1" t="s">
        <v>92</v>
      </c>
      <c r="D7" s="1">
        <v>68000</v>
      </c>
      <c r="E7" s="9">
        <v>42911</v>
      </c>
      <c r="F7" s="1">
        <f t="shared" ca="1" si="0"/>
        <v>9</v>
      </c>
    </row>
    <row r="8" spans="1:9" x14ac:dyDescent="0.3">
      <c r="A8" s="1">
        <v>7</v>
      </c>
      <c r="B8" s="1" t="s">
        <v>96</v>
      </c>
      <c r="C8" s="1" t="s">
        <v>90</v>
      </c>
      <c r="D8" s="1">
        <v>70000</v>
      </c>
      <c r="E8" s="9">
        <v>43567</v>
      </c>
      <c r="F8" s="1">
        <f t="shared" ca="1" si="0"/>
        <v>7</v>
      </c>
    </row>
    <row r="11" spans="1:9" x14ac:dyDescent="0.3">
      <c r="B11" t="s">
        <v>88</v>
      </c>
      <c r="I11" t="s">
        <v>34</v>
      </c>
    </row>
    <row r="13" spans="1:9" x14ac:dyDescent="0.3">
      <c r="B13" s="27" t="s">
        <v>103</v>
      </c>
      <c r="C13" t="s">
        <v>105</v>
      </c>
      <c r="I13" t="s">
        <v>77</v>
      </c>
    </row>
    <row r="14" spans="1:9" x14ac:dyDescent="0.3">
      <c r="B14" s="28" t="s">
        <v>90</v>
      </c>
      <c r="C14" s="29">
        <v>198000</v>
      </c>
      <c r="I14" t="s">
        <v>78</v>
      </c>
    </row>
    <row r="15" spans="1:9" x14ac:dyDescent="0.3">
      <c r="B15" s="28" t="s">
        <v>88</v>
      </c>
      <c r="C15" s="29">
        <v>58000</v>
      </c>
      <c r="I15" t="s">
        <v>79</v>
      </c>
    </row>
    <row r="16" spans="1:9" x14ac:dyDescent="0.3">
      <c r="B16" s="28" t="s">
        <v>92</v>
      </c>
      <c r="C16" s="29">
        <v>140000</v>
      </c>
      <c r="I16" t="s">
        <v>80</v>
      </c>
    </row>
    <row r="17" spans="2:9" x14ac:dyDescent="0.3">
      <c r="B17" s="28" t="s">
        <v>104</v>
      </c>
      <c r="C17" s="29">
        <v>396000</v>
      </c>
      <c r="I17" t="s">
        <v>81</v>
      </c>
    </row>
  </sheetData>
  <conditionalFormatting sqref="D2:D8">
    <cfRule type="cellIs" dxfId="0" priority="1" operator="greaterThan">
      <formula>60000</formula>
    </cfRule>
  </conditionalFormatting>
  <dataValidations count="1">
    <dataValidation type="list" allowBlank="1" showInputMessage="1" showErrorMessage="1" sqref="B11" xr:uid="{A07F57B3-4F69-48EE-8EEB-D120A38E843A}">
      <formula1>"HR,SALES,FINANCE,"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Task-1</vt:lpstr>
      <vt:lpstr>Task-2</vt:lpstr>
      <vt:lpstr>Task-3</vt:lpstr>
      <vt:lpstr>Task-4</vt:lpstr>
      <vt:lpstr>Sheet1</vt:lpstr>
      <vt:lpstr>Task-5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Rajinder</dc:creator>
  <cp:lastModifiedBy>Khemraj Ukey</cp:lastModifiedBy>
  <dcterms:created xsi:type="dcterms:W3CDTF">2024-06-25T12:42:29Z</dcterms:created>
  <dcterms:modified xsi:type="dcterms:W3CDTF">2026-07-05T17:48:01Z</dcterms:modified>
</cp:coreProperties>
</file>